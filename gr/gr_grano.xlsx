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2" tabRatio="500"/>
  </bookViews>
  <sheets>
    <sheet r:id="rId1" name="Biblioteca" sheetId="1"/>
    <sheet r:id="rId2" name="Calculadora" sheetId="2"/>
    <sheet r:id="rId3" name="Registros" sheetId="3"/>
  </sheets>
  <calcPr calcId="0" iterate="1" iterateCount="1000" iterateDelta="0.01"/>
</workbook>
</file>

<file path=xl/sharedStrings.xml><?xml version="1.0" encoding="utf-8"?>
<sst xmlns="http://schemas.openxmlformats.org/spreadsheetml/2006/main" count="189" uniqueCount="189">
  <si>
    <t>⚙️ BIBLIOTECA DE INGREDIENTES</t>
  </si>
  <si>
    <t>🌾 GRANOS</t>
  </si>
  <si>
    <t>ID</t>
  </si>
  <si>
    <t>Nombre</t>
  </si>
  <si>
    <t>Código</t>
  </si>
  <si>
    <t>Densidad (g/ml)</t>
  </si>
  <si>
    <t>Tipo</t>
  </si>
  <si>
    <t>Notas</t>
  </si>
  <si>
    <t>GR-01</t>
  </si>
  <si>
    <t>Avena</t>
  </si>
  <si>
    <t>AV</t>
  </si>
  <si>
    <t>Grano fino</t>
  </si>
  <si>
    <t>Alta superficie específica</t>
  </si>
  <si>
    <t>GR-02</t>
  </si>
  <si>
    <t>Maíz</t>
  </si>
  <si>
    <t>MA</t>
  </si>
  <si>
    <t>Grano grueso</t>
  </si>
  <si>
    <t>Mayor resistencia a hidratación</t>
  </si>
  <si>
    <t>GR-03</t>
  </si>
  <si>
    <t>Trigo</t>
  </si>
  <si>
    <t>TR</t>
  </si>
  <si>
    <t>Grano medio</t>
  </si>
  <si>
    <t>Uso general</t>
  </si>
  <si>
    <t>GR-04</t>
  </si>
  <si>
    <t>Centeno</t>
  </si>
  <si>
    <t>CE</t>
  </si>
  <si>
    <t>Buena retención</t>
  </si>
  <si>
    <t>GR-05</t>
  </si>
  <si>
    <t>Sorgo</t>
  </si>
  <si>
    <t>SO</t>
  </si>
  <si>
    <t>Alternativa económica</t>
  </si>
  <si>
    <t>🧪 AGENTES DESCONTAMINANTES</t>
  </si>
  <si>
    <t>Conc. Default (%)</t>
  </si>
  <si>
    <t>AG-01</t>
  </si>
  <si>
    <t>ÁCIDO PERACÉTICO</t>
  </si>
  <si>
    <t>Oxidativo</t>
  </si>
  <si>
    <t>Descontaminante oxidativo</t>
  </si>
  <si>
    <t>AG-02</t>
  </si>
  <si>
    <t>HIPOCLORITO DE SODIO</t>
  </si>
  <si>
    <t>Clorado</t>
  </si>
  <si>
    <t>Blanqueador desinfectante</t>
  </si>
  <si>
    <t>AG-03</t>
  </si>
  <si>
    <t>PERÓXIDO DE HIDRÓGENO</t>
  </si>
  <si>
    <t>Oxidante fuerte</t>
  </si>
  <si>
    <t>📦 ADITIVOS</t>
  </si>
  <si>
    <t>Función</t>
  </si>
  <si>
    <t>AD-01</t>
  </si>
  <si>
    <t>CaSO4 (Yeso)</t>
  </si>
  <si>
    <t>Estructurante</t>
  </si>
  <si>
    <t>Mejora aireación</t>
  </si>
  <si>
    <t>Uso común 1-3%</t>
  </si>
  <si>
    <t>AD-02</t>
  </si>
  <si>
    <t>Carbonato de Calcio</t>
  </si>
  <si>
    <t>Corrector pH</t>
  </si>
  <si>
    <t>Alcalinizante</t>
  </si>
  <si>
    <t>Sube pH</t>
  </si>
  <si>
    <t>AD-03</t>
  </si>
  <si>
    <t>Gesso</t>
  </si>
  <si>
    <t>Similar al yeso</t>
  </si>
  <si>
    <t>Alternativa</t>
  </si>
  <si>
    <t>AD-04</t>
  </si>
  <si>
    <t>Tiza</t>
  </si>
  <si>
    <t>Fuente de calcio</t>
  </si>
  <si>
    <t>Económica</t>
  </si>
  <si>
    <t>🫙 CONFIGURACIÓN FRASCOS</t>
  </si>
  <si>
    <t>Tipo Frasco</t>
  </si>
  <si>
    <t>Capacidad (ml)</t>
  </si>
  <si>
    <t>Carga Útil (ml)</t>
  </si>
  <si>
    <t>FR-01</t>
  </si>
  <si>
    <t>Frasco 660ml</t>
  </si>
  <si>
    <t>FR-02</t>
  </si>
  <si>
    <t>Frasco 1000ml</t>
  </si>
  <si>
    <t>FR-03</t>
  </si>
  <si>
    <t>Bolsa 1.5L</t>
  </si>
  <si>
    <t>🌽 CALCULADORA DE SUSTRATOS</t>
  </si>
  <si>
    <t>📋 INFORMACIÓN DEL LOTE</t>
  </si>
  <si>
    <t>ID Lote:</t>
  </si>
  <si>
    <t>GR273</t>
  </si>
  <si>
    <t>Masa Total (g):</t>
  </si>
  <si>
    <t>Nombre Mezcla:</t>
  </si>
  <si>
    <t>MA100COCCION</t>
  </si>
  <si>
    <t>Volumen Total (ml):</t>
  </si>
  <si>
    <t>Fecha:</t>
  </si>
  <si>
    <t>2026-03-27</t>
  </si>
  <si>
    <t>Densidad Promedio:</t>
  </si>
  <si>
    <t>Versión:</t>
  </si>
  <si>
    <t>v1</t>
  </si>
  <si>
    <t>🌾 CT - CARACTERIZACIÓN DE COMPONENTES</t>
  </si>
  <si>
    <t>Ingrese volumen (ml), la masa se calcula automáticamente con la densidad del grano</t>
  </si>
  <si>
    <t>#</t>
  </si>
  <si>
    <t>Grano</t>
  </si>
  <si>
    <t>Volumen (ml)</t>
  </si>
  <si>
    <t>Masa (g)</t>
  </si>
  <si>
    <t>% del Total</t>
  </si>
  <si>
    <t/>
  </si>
  <si>
    <t>TOTAL</t>
  </si>
  <si>
    <t>🧪 DC - DESCONTAMINACIÓN</t>
  </si>
  <si>
    <t>Volumen Solución (L):</t>
  </si>
  <si>
    <t>📊 RESULTADOS DC</t>
  </si>
  <si>
    <t>Agente:</t>
  </si>
  <si>
    <t>Concentración Final (%):</t>
  </si>
  <si>
    <t>Conc. Agente (%):</t>
  </si>
  <si>
    <t>Agua necesaria (L):</t>
  </si>
  <si>
    <t>Vol. Agente (ml):</t>
  </si>
  <si>
    <t>Proporción Agente:Agua:</t>
  </si>
  <si>
    <t>1:66</t>
  </si>
  <si>
    <t>Tiempo (min):</t>
  </si>
  <si>
    <t>Temperatura:</t>
  </si>
  <si>
    <t>AMBIENTE</t>
  </si>
  <si>
    <t>Agitación:</t>
  </si>
  <si>
    <t>PASIVA</t>
  </si>
  <si>
    <t>💧 HM - HIDRATACIÓN / MÉTODO</t>
  </si>
  <si>
    <t>Modo:</t>
  </si>
  <si>
    <t>coccion</t>
  </si>
  <si>
    <t>Notas:</t>
  </si>
  <si>
    <t>Método:</t>
  </si>
  <si>
    <t>INMERSION DIRECTA EN AGUA HIRVIENDO</t>
  </si>
  <si>
    <t>Resultado:</t>
  </si>
  <si>
    <t>ok</t>
  </si>
  <si>
    <t>📝 ETAPAS DEL PROCESO</t>
  </si>
  <si>
    <t>Paso</t>
  </si>
  <si>
    <t>Tiempo</t>
  </si>
  <si>
    <t>Unidad</t>
  </si>
  <si>
    <t>min</t>
  </si>
  <si>
    <t>Fuego mínimo con agitación pasiva</t>
  </si>
  <si>
    <t>Fuego mínimo</t>
  </si>
  <si>
    <t>espera</t>
  </si>
  <si>
    <t>Al enfriarse el maíz absorbe más agua</t>
  </si>
  <si>
    <t>TIEMPO TOTAL:</t>
  </si>
  <si>
    <t>📊 DM - DINÁMICA DE MASAS</t>
  </si>
  <si>
    <t>Masa Seca (g):</t>
  </si>
  <si>
    <t>📈 MÉTRICAS CALCULADAS</t>
  </si>
  <si>
    <t>Masa Hidratada (g):</t>
  </si>
  <si>
    <t>Agua Absorbida (g):</t>
  </si>
  <si>
    <t>Densidad Hidratada (g/L):</t>
  </si>
  <si>
    <t>Retención (%):</t>
  </si>
  <si>
    <t>Vol. Seco (ml):</t>
  </si>
  <si>
    <t>Volumen Final (L):</t>
  </si>
  <si>
    <t>Vol. Final (ml):</t>
  </si>
  <si>
    <t>Expansión (%):</t>
  </si>
  <si>
    <t>🫙 FR - FRACCIONAMIENTO</t>
  </si>
  <si>
    <t>Capacidad Frasco (ml):</t>
  </si>
  <si>
    <t>Headspace (ml):</t>
  </si>
  <si>
    <t>Carga Útil (ml):</t>
  </si>
  <si>
    <t>Oxígeno Disponible (%):</t>
  </si>
  <si>
    <t>Densidad Sustrato (g/L):</t>
  </si>
  <si>
    <t>Peso por Frasco (g):</t>
  </si>
  <si>
    <t>Volumen a Envasar (ml):</t>
  </si>
  <si>
    <t>Cantidad de Frascos:</t>
  </si>
  <si>
    <t>Sustrato Sobrante (ml):</t>
  </si>
  <si>
    <t>🔥 ES - ESTERILIZACIÓN</t>
  </si>
  <si>
    <t>⚠️ ANÁLISIS DE RIESGOS</t>
  </si>
  <si>
    <t>Medio:</t>
  </si>
  <si>
    <t>VAPOR SATURADO</t>
  </si>
  <si>
    <t>Riesgo 1:</t>
  </si>
  <si>
    <t>Nivel:</t>
  </si>
  <si>
    <t>Objetivo Primario:</t>
  </si>
  <si>
    <t>ESTERILIDAD DEL SUSTRATO</t>
  </si>
  <si>
    <t>Riesgo 2:</t>
  </si>
  <si>
    <t>Objetivo Secundario:</t>
  </si>
  <si>
    <t>Riesgo 3:</t>
  </si>
  <si>
    <t>📝 RE - RESULTADOS / EVALUACIÓN</t>
  </si>
  <si>
    <t>Hidratación:</t>
  </si>
  <si>
    <t>Notas Finales:</t>
  </si>
  <si>
    <t>Distribución:</t>
  </si>
  <si>
    <t>Eficiencia:</t>
  </si>
  <si>
    <t>📋 REGISTRO HISTÓRICO DE LOTES</t>
  </si>
  <si>
    <t>Copie y pegue los datos de cada lote completado aquí para mantener un registro histórico</t>
  </si>
  <si>
    <t>ID Lote</t>
  </si>
  <si>
    <t>Fecha</t>
  </si>
  <si>
    <t>Mezcla</t>
  </si>
  <si>
    <t>Versión</t>
  </si>
  <si>
    <t>Vol. Total (ml)</t>
  </si>
  <si>
    <t>Masa Total (g)</t>
  </si>
  <si>
    <t>Componentes</t>
  </si>
  <si>
    <t>Agente DC</t>
  </si>
  <si>
    <t>Conc. DC (%)</t>
  </si>
  <si>
    <t>Modo HM</t>
  </si>
  <si>
    <t>Tiempo HM (min)</t>
  </si>
  <si>
    <t>Masa Hidr. (g)</t>
  </si>
  <si>
    <t>Retención (%)</t>
  </si>
  <si>
    <t>Expansión (%)</t>
  </si>
  <si>
    <t>Cant. Frascos</t>
  </si>
  <si>
    <t>Tiempo ES (min)</t>
  </si>
  <si>
    <t>Resultado</t>
  </si>
  <si>
    <t>📊 ESTADÍSTICAS</t>
  </si>
  <si>
    <t>Total Lotes:</t>
  </si>
  <si>
    <t>Promedio Retención:</t>
  </si>
  <si>
    <t>Promedio Frascos: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</si>
</sst>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386" formatCode="yyyy-mm-dd"/>
    <numFmt numFmtId="387" formatCode="0.000"/>
  </numFmts>
  <fonts count="21">
    <font>
      <sz val="11"/>
      <color theme="1"/>
      <name val="Calibri"/>
      <scheme val="minor"/>
    </font>
    <font>
      <b/>
      <i val="0"/>
      <sz val="18"/>
      <color rgb="FFFFD700"/>
      <name val="Aptos Narrow"/>
    </font>
    <font>
      <b/>
      <i val="0"/>
      <sz val="14"/>
      <color rgb="FFFFD700"/>
      <name val="Aptos Narrow"/>
    </font>
    <font>
      <b/>
      <i val="0"/>
      <sz val="11"/>
      <color rgb="FFFFFFFF"/>
      <name val="Aptos Narrow"/>
    </font>
    <font>
      <color rgb="FFF5F5F5"/>
      <name val="Calibri"/>
      <scheme val="minor"/>
    </font>
    <font>
      <b/>
      <i val="0"/>
      <sz val="20"/>
      <color rgb="FFFFD700"/>
      <name val="Aptos Narrow"/>
    </font>
    <font>
      <color rgb="FFA0A0A0"/>
      <name val="Calibri"/>
      <scheme val="minor"/>
    </font>
    <font>
      <color rgb="FFFFFFFF"/>
      <name val="Calibri"/>
      <scheme val="minor"/>
    </font>
    <font>
      <b val="0"/>
      <i/>
      <sz val="10"/>
      <color rgb="FFA0A0A0"/>
      <name val="Aptos Narrow"/>
    </font>
    <font>
      <b/>
      <i val="0"/>
      <sz val="12"/>
      <color rgb="FF70AD47"/>
      <name val="Aptos Narrow"/>
    </font>
    <font>
      <color rgb="FF70AD47"/>
      <name val="Calibri"/>
      <scheme val="minor"/>
    </font>
    <font>
      <name val="Calibri"/>
      <scheme val="minor"/>
    </font>
    <font>
      <b val="0"/>
      <i val="0"/>
      <sz val="11"/>
      <color rgb="FFF5F5F5"/>
      <name val="Aptos Narrow"/>
    </font>
    <font>
      <b/>
      <i val="0"/>
      <sz val="11"/>
      <color rgb="FFF5F5F5"/>
      <name val="Aptos Narrow"/>
    </font>
    <font>
      <b val="0"/>
      <i val="0"/>
      <sz val="11"/>
      <color rgb="FFA0A0A0"/>
      <name val="Aptos Narrow"/>
    </font>
    <font>
      <b val="0"/>
      <i val="0"/>
      <sz val="11"/>
      <color rgb="FFFFFFFF"/>
      <name val="Aptos Narrow"/>
    </font>
    <font>
      <b/>
      <i val="0"/>
      <sz val="11"/>
      <color rgb="FF70AD47"/>
      <name val="Aptos Narrow"/>
    </font>
    <font>
      <b val="0"/>
      <i val="0"/>
      <sz val="11"/>
      <color rgb="FF70AD47"/>
      <name val="Aptos Narrow"/>
    </font>
    <font>
      <b/>
      <i val="0"/>
      <sz val="12"/>
      <color rgb="FFED7D31"/>
      <name val="Aptos Narrow"/>
    </font>
    <font>
      <b val="0"/>
      <i/>
      <sz val="11"/>
      <color rgb="FFA0A0A0"/>
      <name val="Aptos Narrow"/>
    </font>
    <font>
      <b/>
      <i val="0"/>
      <sz val="12"/>
      <color rgb="FFFFD7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1D1D1D"/>
      </patternFill>
    </fill>
    <fill>
      <patternFill patternType="solid">
        <fgColor rgb="FF2D2D2D"/>
      </patternFill>
    </fill>
    <fill>
      <patternFill patternType="solid">
        <fgColor rgb="FF3D3D3D"/>
      </patternFill>
    </fill>
    <fill>
      <patternFill patternType="solid">
        <fgColor rgb="FF252525"/>
      </patternFill>
    </fill>
  </fills>
  <borders count="11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bottom style="thin">
        <color rgb="FFFFD700"/>
      </bottom>
    </border>
    <border>
      <bottom style="thin">
        <color rgb="FF404040"/>
      </bottom>
    </border>
    <border>
      <bottom style="medium">
        <color rgb="FFFFD700"/>
      </bottom>
    </border>
    <border>
      <top style="medium">
        <color rgb="FFFFD700"/>
      </top>
    </border>
    <border>
      <left style="medium">
        <color rgb="FFFFD700"/>
      </left>
      <right style="medium">
        <color rgb="FFFFD700"/>
      </right>
      <top style="medium">
        <color rgb="FFFFD700"/>
      </top>
      <bottom style="medium">
        <color rgb="FFFFD700"/>
      </bottom>
    </border>
    <border>
      <bottom style="thick">
        <color rgb="FFFFD700"/>
      </bottom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</border>
    <border>
      <left style="thin">
        <color rgb="FF606060"/>
      </left>
      <right style="thin">
        <color rgb="FF606060"/>
      </right>
      <top style="thin">
        <color rgb="FF606060"/>
      </top>
      <bottom style="thin">
        <color rgb="FF606060"/>
      </bottom>
    </border>
    <border>
      <left style="thin">
        <color rgb="FF404040"/>
      </left>
      <right style="thin">
        <color rgb="FF404040"/>
      </right>
      <bottom style="thin">
        <color rgb="FF404040"/>
      </bottom>
    </border>
  </borders>
  <cellStyleXfs count="1">
    <xf numFmtId="0" fontId="0" fillId="0" borderId="1">
      <alignment horizontal="general" vertical="top"/>
    </xf>
  </cellStyleXfs>
  <cellXfs count="62">
    <xf numFmtId="0" fontId="0" fillId="0" borderId="1" xfId="0">
      <alignment vertical="top"/>
    </xf>
    <xf numFmtId="0" fontId="1" fillId="2" borderId="0" xfId="0">
      <alignment horizontal="center" vertical="top"/>
    </xf>
    <xf numFmtId="0" fontId="2" fillId="3" borderId="0" xfId="0">
      <alignment horizontal="center" vertical="top"/>
    </xf>
    <xf numFmtId="0" fontId="3" fillId="4" borderId="2" xfId="0">
      <alignment horizontal="center" vertical="top"/>
    </xf>
    <xf numFmtId="0" fontId="4" fillId="2" borderId="3" xfId="0">
      <alignment vertical="top"/>
    </xf>
    <xf numFmtId="0" fontId="5" fillId="2" borderId="0" xfId="0">
      <alignment horizontal="center" vertical="top"/>
    </xf>
    <xf numFmtId="0" fontId="2" fillId="3" borderId="0" xfId="0">
      <alignment horizontal="left" vertical="top"/>
    </xf>
    <xf numFmtId="0" fontId="6" fillId="3" borderId="0" xfId="0">
      <alignment vertical="top"/>
    </xf>
    <xf numFmtId="0" fontId="7" fillId="4" borderId="0" xfId="0">
      <alignment vertical="top"/>
    </xf>
    <xf numFmtId="3" fontId="7" fillId="4" borderId="0" xfId="0">
      <alignment vertical="top"/>
    </xf>
    <xf numFmtId="386" fontId="7" fillId="4" borderId="0" xfId="0">
      <alignment vertical="top"/>
    </xf>
    <xf numFmtId="387" fontId="7" fillId="4" borderId="0" xfId="0">
      <alignment vertical="top"/>
    </xf>
    <xf numFmtId="0" fontId="8" fillId="0" borderId="0" xfId="0">
      <alignment vertical="top"/>
    </xf>
    <xf numFmtId="0" fontId="3" fillId="4" borderId="4" xfId="0">
      <alignment vertical="top"/>
    </xf>
    <xf numFmtId="0" fontId="4" fillId="2" borderId="0" xfId="0">
      <alignment vertical="top"/>
    </xf>
    <xf numFmtId="3" fontId="4" fillId="2" borderId="0" xfId="0">
      <alignment vertical="top"/>
    </xf>
    <xf numFmtId="387" fontId="4" fillId="2" borderId="0" xfId="0">
      <alignment vertical="top"/>
    </xf>
    <xf numFmtId="10" fontId="4" fillId="2" borderId="0" xfId="0">
      <alignment vertical="top"/>
    </xf>
    <xf numFmtId="0" fontId="3" fillId="3" borderId="5" xfId="0">
      <alignment vertical="top"/>
    </xf>
    <xf numFmtId="3" fontId="3" fillId="3" borderId="5" xfId="0">
      <alignment vertical="top"/>
    </xf>
    <xf numFmtId="10" fontId="3" fillId="3" borderId="5" xfId="0">
      <alignment vertical="top"/>
    </xf>
    <xf numFmtId="0" fontId="2" fillId="3" borderId="0" xfId="0">
      <alignment vertical="top"/>
    </xf>
    <xf numFmtId="0" fontId="9" fillId="3" borderId="0" xfId="0">
      <alignment vertical="top"/>
    </xf>
    <xf numFmtId="0" fontId="10" fillId="2" borderId="0" xfId="0">
      <alignment vertical="top"/>
    </xf>
    <xf numFmtId="0" fontId="11" fillId="2" borderId="0" xfId="0">
      <alignment vertical="top"/>
    </xf>
    <xf numFmtId="0" fontId="12" fillId="2" borderId="0" xfId="0">
      <alignment vertical="top"/>
    </xf>
    <xf numFmtId="0" fontId="12" fillId="2" borderId="0" xfId="0">
      <alignment horizontal="center" vertical="top"/>
    </xf>
    <xf numFmtId="0" fontId="9" fillId="3" borderId="0" xfId="0">
      <alignment horizontal="center" vertical="top"/>
    </xf>
    <xf numFmtId="0" fontId="3" fillId="4" borderId="0" xfId="0">
      <alignment horizontal="center" vertical="top"/>
    </xf>
    <xf numFmtId="0" fontId="11" fillId="4" borderId="0" xfId="0">
      <alignment vertical="top"/>
    </xf>
    <xf numFmtId="0" fontId="12" fillId="2" borderId="0" xfId="0">
      <alignment horizontal="left" vertical="top"/>
    </xf>
    <xf numFmtId="0" fontId="13" fillId="3" borderId="0" xfId="0">
      <alignment vertical="top"/>
    </xf>
    <xf numFmtId="0" fontId="11" fillId="3" borderId="0" xfId="0">
      <alignment vertical="top"/>
    </xf>
    <xf numFmtId="0" fontId="13" fillId="3" borderId="0" xfId="0">
      <alignment horizontal="center" vertical="top"/>
    </xf>
    <xf numFmtId="0" fontId="6" fillId="3" borderId="0" xfId="0">
      <alignment horizontal="right" vertical="top"/>
    </xf>
    <xf numFmtId="0" fontId="10" fillId="2" borderId="0" xfId="0">
      <alignment horizontal="center" vertical="top"/>
    </xf>
    <xf numFmtId="3" fontId="7" fillId="4" borderId="0" xfId="0">
      <alignment horizontal="center" vertical="top"/>
    </xf>
    <xf numFmtId="0" fontId="7" fillId="4" borderId="0" xfId="0">
      <alignment horizontal="center" vertical="top"/>
    </xf>
    <xf numFmtId="0" fontId="14" fillId="3" borderId="0" xfId="0">
      <alignment horizontal="right" vertical="top"/>
    </xf>
    <xf numFmtId="0" fontId="15" fillId="4" borderId="0" xfId="0">
      <alignment vertical="top"/>
    </xf>
    <xf numFmtId="0" fontId="16" fillId="2" borderId="0" xfId="0">
      <alignment vertical="top"/>
    </xf>
    <xf numFmtId="0" fontId="17" fillId="2" borderId="0" xfId="0">
      <alignment vertical="top"/>
    </xf>
    <xf numFmtId="0" fontId="16" fillId="2" borderId="6" xfId="0">
      <alignment vertical="top"/>
    </xf>
    <xf numFmtId="0" fontId="11" fillId="0" borderId="7" xfId="0">
      <alignment vertical="top"/>
    </xf>
    <xf numFmtId="0" fontId="18" fillId="3" borderId="0" xfId="0">
      <alignment vertical="top"/>
    </xf>
    <xf numFmtId="0" fontId="7" fillId="2" borderId="8" xfId="0">
      <alignment vertical="top"/>
    </xf>
    <xf numFmtId="0" fontId="1" fillId="2" borderId="0" xfId="0">
      <alignment horizontal="center" vertical="center"/>
    </xf>
    <xf numFmtId="0" fontId="19" fillId="2" borderId="0" xfId="0">
      <alignment horizontal="center" vertical="center"/>
    </xf>
    <xf numFmtId="0" fontId="3" fillId="4" borderId="9" xfId="0">
      <alignment horizontal="center" vertical="center"/>
    </xf>
    <xf numFmtId="0" fontId="4" fillId="2" borderId="10" xfId="0">
      <alignment vertical="top"/>
    </xf>
    <xf numFmtId="386" fontId="4" fillId="2" borderId="10" xfId="0">
      <alignment vertical="top"/>
    </xf>
    <xf numFmtId="3" fontId="4" fillId="2" borderId="10" xfId="0">
      <alignment vertical="top"/>
    </xf>
    <xf numFmtId="2" fontId="4" fillId="2" borderId="10" xfId="0">
      <alignment vertical="top"/>
    </xf>
    <xf numFmtId="0" fontId="4" fillId="5" borderId="10" xfId="0">
      <alignment vertical="top"/>
    </xf>
    <xf numFmtId="386" fontId="4" fillId="5" borderId="10" xfId="0">
      <alignment vertical="top"/>
    </xf>
    <xf numFmtId="3" fontId="4" fillId="5" borderId="10" xfId="0">
      <alignment vertical="top"/>
    </xf>
    <xf numFmtId="2" fontId="4" fillId="5" borderId="10" xfId="0">
      <alignment vertical="top"/>
    </xf>
    <xf numFmtId="0" fontId="20" fillId="3" borderId="0" xfId="0">
      <alignment horizontal="left" vertical="center"/>
    </xf>
    <xf numFmtId="0" fontId="12" fillId="3" borderId="0" xfId="0">
      <alignment vertical="top"/>
    </xf>
    <xf numFmtId="0" fontId="4" fillId="3" borderId="0" xfId="0">
      <alignment vertical="top"/>
    </xf>
    <xf numFmtId="2" fontId="12" fillId="3" borderId="0" xfId="0">
      <alignment vertical="top"/>
    </xf>
    <xf numFmtId="3" fontId="12" fillId="3" borderId="0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E4D2348-9978-2937-5358-800E7DA92307}" mc:Ignorable="x14ac xr xr2 xr3">
  <dimension ref="A1:GR1000"/>
  <sheetViews>
    <sheetView topLeftCell="A10" workbookViewId="0">
      <selection activeCell="C26" sqref="C26"/>
    </sheetView>
  </sheetViews>
  <sheetFormatPr defaultRowHeight="15" defaultColWidth="8.8515625" customHeight="1"/>
  <cols>
    <col min="1" max="1" width="11.421875" customWidth="1"/>
    <col min="2" max="2" width="25.7109375" customWidth="1"/>
    <col min="3" max="4" width="18.57421875" customWidth="1"/>
    <col min="5" max="5" width="21.421875" customWidth="1"/>
    <col min="6" max="6" width="31.421875" customWidth="1"/>
  </cols>
  <sheetData>
    <row r="1" ht="22.5" customHeight="1">
      <c r="A1" s="1" t="s">
        <v>0</v>
      </c>
    </row>
    <row r="3" ht="18.75" customHeight="1">
      <c r="A3" s="2" t="s">
        <v>1</v>
      </c>
    </row>
    <row r="4" ht="1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15" customHeight="1">
      <c r="A5" s="4" t="s">
        <v>8</v>
      </c>
      <c r="B5" s="4" t="s">
        <v>9</v>
      </c>
      <c r="C5" s="4" t="s">
        <v>10</v>
      </c>
      <c r="D5" s="4">
        <v>0.556</v>
      </c>
      <c r="E5" s="4" t="s">
        <v>11</v>
      </c>
      <c r="F5" s="4" t="s">
        <v>12</v>
      </c>
    </row>
    <row r="6" ht="15" customHeight="1">
      <c r="A6" s="4" t="s">
        <v>13</v>
      </c>
      <c r="B6" s="4" t="s">
        <v>14</v>
      </c>
      <c r="C6" s="4" t="s">
        <v>15</v>
      </c>
      <c r="D6" s="4">
        <v>0.802</v>
      </c>
      <c r="E6" s="4" t="s">
        <v>16</v>
      </c>
      <c r="F6" s="4" t="s">
        <v>17</v>
      </c>
    </row>
    <row r="7" ht="15" customHeight="1">
      <c r="A7" s="4" t="s">
        <v>18</v>
      </c>
      <c r="B7" s="4" t="s">
        <v>19</v>
      </c>
      <c r="C7" s="4" t="s">
        <v>20</v>
      </c>
      <c r="D7" s="4">
        <v>0.75</v>
      </c>
      <c r="E7" s="4" t="s">
        <v>21</v>
      </c>
      <c r="F7" s="4" t="s">
        <v>22</v>
      </c>
    </row>
    <row r="8" ht="15" customHeight="1">
      <c r="A8" s="4" t="s">
        <v>23</v>
      </c>
      <c r="B8" s="4" t="s">
        <v>24</v>
      </c>
      <c r="C8" s="4" t="s">
        <v>25</v>
      </c>
      <c r="D8" s="4">
        <v>0.7</v>
      </c>
      <c r="E8" s="4" t="s">
        <v>21</v>
      </c>
      <c r="F8" s="4" t="s">
        <v>26</v>
      </c>
    </row>
    <row r="9" ht="15" customHeight="1">
      <c r="A9" s="4" t="s">
        <v>27</v>
      </c>
      <c r="B9" s="4" t="s">
        <v>28</v>
      </c>
      <c r="C9" s="4" t="s">
        <v>29</v>
      </c>
      <c r="D9" s="4">
        <v>0.75</v>
      </c>
      <c r="E9" s="4" t="s">
        <v>21</v>
      </c>
      <c r="F9" s="4" t="s">
        <v>30</v>
      </c>
    </row>
    <row r="11" ht="18.75" customHeight="1">
      <c r="A11" s="2" t="s">
        <v>31</v>
      </c>
    </row>
    <row r="12" ht="15" customHeight="1">
      <c r="A12" s="3" t="s">
        <v>2</v>
      </c>
      <c r="B12" s="3" t="s">
        <v>3</v>
      </c>
      <c r="C12" s="3" t="s">
        <v>32</v>
      </c>
      <c r="D12" s="3" t="s">
        <v>6</v>
      </c>
      <c r="E12" s="3" t="s">
        <v>7</v>
      </c>
    </row>
    <row r="13" ht="15" customHeight="1">
      <c r="A13" s="4" t="s">
        <v>33</v>
      </c>
      <c r="B13" s="4" t="s">
        <v>34</v>
      </c>
      <c r="C13" s="4">
        <v>5</v>
      </c>
      <c r="D13" s="4" t="s">
        <v>35</v>
      </c>
      <c r="E13" s="4" t="s">
        <v>36</v>
      </c>
    </row>
    <row r="14" ht="15" customHeight="1">
      <c r="A14" s="4" t="s">
        <v>37</v>
      </c>
      <c r="B14" s="4" t="s">
        <v>38</v>
      </c>
      <c r="C14" s="4">
        <v>1</v>
      </c>
      <c r="D14" s="4" t="s">
        <v>39</v>
      </c>
      <c r="E14" s="4" t="s">
        <v>40</v>
      </c>
    </row>
    <row r="15" ht="15" customHeight="1">
      <c r="A15" s="4" t="s">
        <v>41</v>
      </c>
      <c r="B15" s="4" t="s">
        <v>42</v>
      </c>
      <c r="C15" s="4">
        <v>3</v>
      </c>
      <c r="D15" s="4" t="s">
        <v>35</v>
      </c>
      <c r="E15" s="4" t="s">
        <v>43</v>
      </c>
    </row>
    <row r="17" ht="18.75" customHeight="1">
      <c r="A17" s="2" t="s">
        <v>44</v>
      </c>
    </row>
    <row r="18" ht="15" customHeight="1">
      <c r="A18" s="3" t="s">
        <v>2</v>
      </c>
      <c r="B18" s="3" t="s">
        <v>3</v>
      </c>
      <c r="C18" s="3" t="s">
        <v>6</v>
      </c>
      <c r="D18" s="3" t="s">
        <v>45</v>
      </c>
      <c r="E18" s="3" t="s">
        <v>7</v>
      </c>
    </row>
    <row r="19" ht="15" customHeight="1">
      <c r="A19" s="4" t="s">
        <v>46</v>
      </c>
      <c r="B19" s="4" t="s">
        <v>47</v>
      </c>
      <c r="C19" s="4" t="s">
        <v>48</v>
      </c>
      <c r="D19" s="4" t="s">
        <v>49</v>
      </c>
      <c r="E19" s="4" t="s">
        <v>50</v>
      </c>
    </row>
    <row r="20" ht="15" customHeight="1">
      <c r="A20" s="4" t="s">
        <v>51</v>
      </c>
      <c r="B20" s="4" t="s">
        <v>52</v>
      </c>
      <c r="C20" s="4" t="s">
        <v>53</v>
      </c>
      <c r="D20" s="4" t="s">
        <v>54</v>
      </c>
      <c r="E20" s="4" t="s">
        <v>55</v>
      </c>
    </row>
    <row r="21" ht="15" customHeight="1">
      <c r="A21" s="4" t="s">
        <v>56</v>
      </c>
      <c r="B21" s="4" t="s">
        <v>57</v>
      </c>
      <c r="C21" s="4" t="s">
        <v>48</v>
      </c>
      <c r="D21" s="4" t="s">
        <v>58</v>
      </c>
      <c r="E21" s="4" t="s">
        <v>59</v>
      </c>
    </row>
    <row r="22" ht="15" customHeight="1">
      <c r="A22" s="4" t="s">
        <v>60</v>
      </c>
      <c r="B22" s="4" t="s">
        <v>61</v>
      </c>
      <c r="C22" s="4" t="s">
        <v>48</v>
      </c>
      <c r="D22" s="4" t="s">
        <v>62</v>
      </c>
      <c r="E22" s="4" t="s">
        <v>63</v>
      </c>
    </row>
    <row r="24" ht="18.75" customHeight="1">
      <c r="A24" s="2" t="s">
        <v>64</v>
      </c>
    </row>
    <row r="25" ht="15" customHeight="1">
      <c r="A25" s="3" t="s">
        <v>2</v>
      </c>
      <c r="B25" s="3" t="s">
        <v>65</v>
      </c>
      <c r="C25" s="3" t="s">
        <v>66</v>
      </c>
      <c r="D25" s="3" t="s">
        <v>67</v>
      </c>
    </row>
    <row r="26" ht="15" customHeight="1">
      <c r="A26" s="4" t="s">
        <v>68</v>
      </c>
      <c r="B26" s="4" t="s">
        <v>69</v>
      </c>
      <c r="C26" s="4">
        <v>660</v>
      </c>
      <c r="D26" s="4">
        <v>500</v>
      </c>
    </row>
    <row r="27" ht="15" customHeight="1">
      <c r="A27" s="4" t="s">
        <v>70</v>
      </c>
      <c r="B27" s="4" t="s">
        <v>71</v>
      </c>
      <c r="C27" s="4">
        <v>1000</v>
      </c>
      <c r="D27" s="4">
        <v>800</v>
      </c>
    </row>
    <row r="28" ht="15" customHeight="1">
      <c r="A28" s="4" t="s">
        <v>72</v>
      </c>
      <c r="B28" s="4" t="s">
        <v>73</v>
      </c>
      <c r="C28" s="4">
        <v>1500</v>
      </c>
      <c r="D28" s="4">
        <v>1200</v>
      </c>
    </row>
  </sheetData>
  <mergeCells>
    <mergeCell ref="A1:F1"/>
    <mergeCell ref="A3:F3"/>
    <mergeCell ref="A11:F11"/>
    <mergeCell ref="A17:F17"/>
    <mergeCell ref="A24:F24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CE5DEC8-45E8-5808-427C-6FB185799DA8}" mc:Ignorable="x14ac xr xr2 xr3">
  <dimension ref="A1:GR1000"/>
  <sheetViews>
    <sheetView topLeftCell="A58" workbookViewId="0">
      <selection activeCell="D20" sqref="D20:F20"/>
    </sheetView>
  </sheetViews>
  <sheetFormatPr defaultRowHeight="15" defaultColWidth="8.8515625" customHeight="1"/>
  <cols>
    <col min="1" max="1" width="22.28125" customWidth="1"/>
    <col min="2" max="2" width="24.28125" customWidth="1"/>
    <col min="3" max="3" width="12.7109375" customWidth="1"/>
    <col min="4" max="4" width="21.7109375" customWidth="1"/>
    <col min="5" max="5" width="16.7109375" customWidth="1"/>
    <col min="6" max="6" width="10.8515625" customWidth="1"/>
    <col min="7" max="7" width="5.57421875" customWidth="1"/>
    <col min="8" max="8" width="14.28125" customWidth="1"/>
  </cols>
  <sheetData>
    <row r="1" ht="25.5" customHeight="1">
      <c r="A1" s="5" t="s">
        <v>74</v>
      </c>
    </row>
    <row r="3" ht="18.75" customHeight="1">
      <c r="A3" s="6" t="s">
        <v>75</v>
      </c>
    </row>
    <row r="4" ht="15" customHeight="1">
      <c r="A4" s="7" t="s">
        <v>76</v>
      </c>
      <c r="B4" s="8" t="s">
        <v>77</v>
      </c>
      <c r="D4" s="7" t="s">
        <v>78</v>
      </c>
      <c r="E4" s="9">
        <f>E17</f>
        <v>2406</v>
      </c>
    </row>
    <row r="5" ht="15" customHeight="1">
      <c r="A5" s="7" t="s">
        <v>79</v>
      </c>
      <c r="B5" s="8" t="s">
        <v>80</v>
      </c>
      <c r="D5" s="7" t="s">
        <v>81</v>
      </c>
      <c r="E5" s="9">
        <f>C17</f>
        <v>3000</v>
      </c>
    </row>
    <row r="6" ht="15" customHeight="1">
      <c r="A6" s="7" t="s">
        <v>82</v>
      </c>
      <c r="B6" s="10" t="s">
        <v>83</v>
      </c>
      <c r="D6" s="7" t="s">
        <v>84</v>
      </c>
      <c r="E6" s="11">
        <f>IF(E5=0,"",E4/E5)</f>
        <v>0.802</v>
      </c>
    </row>
    <row r="7" ht="15" customHeight="1">
      <c r="A7" s="7" t="s">
        <v>85</v>
      </c>
      <c r="B7" s="8" t="s">
        <v>86</v>
      </c>
    </row>
    <row r="9" ht="18.75" customHeight="1">
      <c r="A9" s="6" t="s">
        <v>87</v>
      </c>
    </row>
    <row r="10" ht="15" customHeight="1">
      <c r="A10" s="12" t="s">
        <v>88</v>
      </c>
    </row>
    <row r="11" ht="15" customHeight="1">
      <c r="A11" s="13" t="s">
        <v>89</v>
      </c>
      <c r="B11" s="13" t="s">
        <v>90</v>
      </c>
      <c r="C11" s="13" t="s">
        <v>91</v>
      </c>
      <c r="D11" s="13" t="s">
        <v>5</v>
      </c>
      <c r="E11" s="13" t="s">
        <v>92</v>
      </c>
      <c r="F11" s="13" t="s">
        <v>93</v>
      </c>
      <c r="G11" s="13" t="s">
        <v>7</v>
      </c>
      <c r="H11" s="13"/>
    </row>
    <row r="12" ht="15" customHeight="1">
      <c r="A12" s="14">
        <v>1</v>
      </c>
      <c r="B12" s="14" t="s">
        <v>14</v>
      </c>
      <c r="C12" s="15">
        <v>3000</v>
      </c>
      <c r="D12" s="16">
        <f>IF(B12="","",VLOOKUP(B12,Biblioteca!$B$5:$D$9,3,FALSE))</f>
        <v>0.802</v>
      </c>
      <c r="E12" s="15">
        <f t="shared" si="0" ref="E12:E16">IF(OR(C12="",D12=""),"",C12*D12)</f>
        <v>2406</v>
      </c>
      <c r="F12" s="17">
        <f t="shared" si="1" ref="F12:F16">IF(E12="","",E12/E$17)</f>
        <v>1</v>
      </c>
      <c r="G12" s="14"/>
      <c r="H12" s="14"/>
    </row>
    <row r="13" ht="15" customHeight="1">
      <c r="A13" s="14">
        <v>2</v>
      </c>
      <c r="B13" s="14"/>
      <c r="C13" s="15"/>
      <c r="D13" s="16" t="str">
        <f>IF(B13="","",VLOOKUP(B13,Biblioteca!$B$5:$D$9,3,FALSE))</f>
        <v/>
      </c>
      <c r="E13" s="15" t="str">
        <f t="shared" si="0"/>
        <v/>
      </c>
      <c r="F13" s="17" t="str">
        <f t="shared" si="1"/>
        <v/>
      </c>
      <c r="G13" s="14"/>
      <c r="H13" s="14"/>
    </row>
    <row r="14" ht="15" customHeight="1">
      <c r="A14" s="14">
        <v>3</v>
      </c>
      <c r="B14" s="14"/>
      <c r="C14" s="15"/>
      <c r="D14" s="16" t="str">
        <f>IF(B14="","",VLOOKUP(B14,Biblioteca!$B$5:$D$9,3,FALSE))</f>
        <v/>
      </c>
      <c r="E14" s="15" t="str">
        <f t="shared" si="0"/>
        <v/>
      </c>
      <c r="F14" s="17" t="str">
        <f t="shared" si="1"/>
        <v/>
      </c>
      <c r="G14" s="14"/>
      <c r="H14" s="14"/>
    </row>
    <row r="15" ht="15" customHeight="1">
      <c r="A15" s="14">
        <v>4</v>
      </c>
      <c r="B15" s="14"/>
      <c r="C15" s="15"/>
      <c r="D15" s="16" t="str">
        <f>IF(B15="","",VLOOKUP(B15,Biblioteca!$B$5:$D$9,3,FALSE))</f>
        <v/>
      </c>
      <c r="E15" s="15" t="str">
        <f t="shared" si="0"/>
        <v/>
      </c>
      <c r="F15" s="17" t="str">
        <f t="shared" si="1"/>
        <v/>
      </c>
      <c r="G15" s="14"/>
      <c r="H15" s="14"/>
    </row>
    <row r="16" ht="15" customHeight="1">
      <c r="A16" s="14">
        <v>5</v>
      </c>
      <c r="B16" s="14"/>
      <c r="C16" s="15"/>
      <c r="D16" s="16" t="str">
        <f>IF(B16="","",VLOOKUP(B16,Biblioteca!$B$5:$D$9,3,FALSE))</f>
        <v/>
      </c>
      <c r="E16" s="15" t="str">
        <f t="shared" si="0"/>
        <v/>
      </c>
      <c r="F16" s="17" t="str">
        <f t="shared" si="1"/>
        <v/>
      </c>
      <c r="G16" s="14"/>
      <c r="H16" s="14"/>
    </row>
    <row r="17" ht="15" customHeight="1">
      <c r="A17" s="18" t="s">
        <v>95</v>
      </c>
      <c r="B17" s="18"/>
      <c r="C17" s="19">
        <f t="shared" si="2" ref="C17:F17">SUM(C12:C16)</f>
        <v>3000</v>
      </c>
      <c r="D17" s="18"/>
      <c r="E17" s="19">
        <f t="shared" si="2"/>
        <v>2406</v>
      </c>
      <c r="F17" s="20">
        <f t="shared" si="2"/>
        <v>1</v>
      </c>
      <c r="G17" s="18"/>
      <c r="H17" s="18"/>
    </row>
    <row r="19" ht="18.75" customHeight="1">
      <c r="A19" s="21" t="s">
        <v>96</v>
      </c>
    </row>
    <row r="20" ht="15.75" customHeight="1">
      <c r="A20" s="7" t="s">
        <v>97</v>
      </c>
      <c r="B20" s="8">
        <v>4</v>
      </c>
      <c r="D20" s="22" t="s">
        <v>98</v>
      </c>
    </row>
    <row r="21" ht="15.75" customHeight="1">
      <c r="A21" s="7" t="s">
        <v>99</v>
      </c>
      <c r="B21" s="8" t="s">
        <v>34</v>
      </c>
      <c r="D21" s="7" t="s">
        <v>100</v>
      </c>
      <c r="E21" s="23">
        <f>IF(OR(B20="",B22="",B23=""),"",((B23*B22)/(B20*1000))*100)</f>
        <v>7.5</v>
      </c>
      <c r="F21" s="24"/>
    </row>
    <row r="22" ht="15.75" customHeight="1">
      <c r="A22" s="7" t="s">
        <v>101</v>
      </c>
      <c r="B22" s="8">
        <f>IF(B21="","",VLOOKUP(B21,Biblioteca!$B$13:$C$15,2,FALSE))</f>
        <v>5</v>
      </c>
      <c r="D22" s="7" t="s">
        <v>102</v>
      </c>
      <c r="E22" s="23">
        <f>IF(B20="","",B20-(B23/1000))</f>
        <v>3.94</v>
      </c>
      <c r="F22" s="24"/>
    </row>
    <row r="23" ht="15.75" customHeight="1">
      <c r="A23" s="7" t="s">
        <v>103</v>
      </c>
      <c r="B23" s="8">
        <v>60</v>
      </c>
      <c r="D23" s="7" t="s">
        <v>104</v>
      </c>
      <c r="E23" s="23" t="str">
        <f>IF(OR(B23="",E22=""),"",CONCATENATE("1:",ROUND(E22*1000/B23,0)))</f>
        <v>1:66</v>
      </c>
      <c r="F23" s="24"/>
    </row>
    <row r="24" ht="15.75" customHeight="1">
      <c r="A24" s="7" t="s">
        <v>106</v>
      </c>
      <c r="B24" s="8">
        <v>60</v>
      </c>
    </row>
    <row r="25" ht="15.75" customHeight="1">
      <c r="A25" s="7" t="s">
        <v>107</v>
      </c>
      <c r="B25" s="8" t="s">
        <v>108</v>
      </c>
    </row>
    <row r="26" ht="15.75" customHeight="1">
      <c r="A26" s="7" t="s">
        <v>109</v>
      </c>
      <c r="B26" s="8" t="s">
        <v>110</v>
      </c>
    </row>
    <row r="28" ht="18.75" customHeight="1">
      <c r="A28" s="2" t="s">
        <v>111</v>
      </c>
    </row>
    <row r="29" ht="15" customHeight="1">
      <c r="A29" s="25" t="s">
        <v>112</v>
      </c>
      <c r="B29" s="26" t="s">
        <v>113</v>
      </c>
      <c r="C29" s="24"/>
      <c r="D29" s="25" t="s">
        <v>114</v>
      </c>
      <c r="E29" s="14"/>
    </row>
    <row r="30" ht="15" customHeight="1">
      <c r="A30" s="25" t="s">
        <v>115</v>
      </c>
      <c r="B30" s="26" t="s">
        <v>116</v>
      </c>
      <c r="C30" s="24"/>
      <c r="D30" s="24"/>
    </row>
    <row r="31" ht="15" customHeight="1">
      <c r="A31" s="25" t="s">
        <v>109</v>
      </c>
      <c r="B31" s="26" t="s">
        <v>110</v>
      </c>
      <c r="C31" s="24"/>
      <c r="D31" s="24"/>
    </row>
    <row r="32" ht="15" customHeight="1">
      <c r="A32" s="25" t="s">
        <v>117</v>
      </c>
      <c r="B32" s="26" t="s">
        <v>118</v>
      </c>
      <c r="C32" s="24"/>
      <c r="D32" s="24"/>
    </row>
    <row r="33" ht="15.75" customHeight="1">
      <c r="A33" s="27" t="s">
        <v>119</v>
      </c>
    </row>
    <row r="34" ht="15" customHeight="1">
      <c r="A34" s="28" t="s">
        <v>120</v>
      </c>
      <c r="B34" s="28" t="s">
        <v>6</v>
      </c>
      <c r="C34" s="28" t="s">
        <v>121</v>
      </c>
      <c r="D34" s="28" t="s">
        <v>122</v>
      </c>
      <c r="E34" s="28" t="s">
        <v>7</v>
      </c>
      <c r="F34" s="29"/>
      <c r="G34" s="29"/>
    </row>
    <row r="35" ht="15" customHeight="1">
      <c r="A35" s="26">
        <v>1</v>
      </c>
      <c r="B35" s="26" t="s">
        <v>113</v>
      </c>
      <c r="C35" s="26">
        <v>10</v>
      </c>
      <c r="D35" s="26" t="s">
        <v>123</v>
      </c>
      <c r="E35" s="30" t="s">
        <v>116</v>
      </c>
    </row>
    <row r="36" ht="15" customHeight="1">
      <c r="A36" s="26">
        <v>2</v>
      </c>
      <c r="B36" s="26" t="s">
        <v>113</v>
      </c>
      <c r="C36" s="26">
        <v>15</v>
      </c>
      <c r="D36" s="26" t="s">
        <v>123</v>
      </c>
      <c r="E36" s="30" t="s">
        <v>124</v>
      </c>
    </row>
    <row r="37" ht="15" customHeight="1">
      <c r="A37" s="26">
        <v>3</v>
      </c>
      <c r="B37" s="26" t="s">
        <v>113</v>
      </c>
      <c r="C37" s="26">
        <v>15</v>
      </c>
      <c r="D37" s="26" t="s">
        <v>123</v>
      </c>
      <c r="E37" s="30" t="s">
        <v>125</v>
      </c>
    </row>
    <row r="38" ht="15" customHeight="1">
      <c r="A38" s="26">
        <v>4</v>
      </c>
      <c r="B38" s="26" t="s">
        <v>113</v>
      </c>
      <c r="C38" s="26">
        <v>15</v>
      </c>
      <c r="D38" s="26" t="s">
        <v>123</v>
      </c>
      <c r="E38" s="30" t="s">
        <v>125</v>
      </c>
    </row>
    <row r="39" ht="15" customHeight="1">
      <c r="A39" s="26">
        <v>5</v>
      </c>
      <c r="B39" s="26" t="s">
        <v>126</v>
      </c>
      <c r="C39" s="26">
        <v>30</v>
      </c>
      <c r="D39" s="26" t="s">
        <v>123</v>
      </c>
      <c r="E39" s="30" t="s">
        <v>127</v>
      </c>
    </row>
    <row r="40" ht="15" customHeight="1">
      <c r="A40" s="31" t="s">
        <v>128</v>
      </c>
      <c r="B40" s="32"/>
      <c r="C40" s="33">
        <f>SUMIF(D35:D39,"min",C35:C39)+SUMIF(D35:D39,"h",C35:C39)*60</f>
        <v>85</v>
      </c>
      <c r="D40" s="31" t="s">
        <v>123</v>
      </c>
      <c r="E40" s="32"/>
      <c r="F40" s="32"/>
      <c r="G40" s="32"/>
    </row>
    <row r="42" ht="18.75" customHeight="1">
      <c r="A42" s="2" t="s">
        <v>129</v>
      </c>
    </row>
    <row r="43" ht="15.75" customHeight="1">
      <c r="A43" s="34" t="s">
        <v>130</v>
      </c>
      <c r="B43" s="35">
        <f>E17</f>
        <v>2406</v>
      </c>
      <c r="D43" s="27" t="s">
        <v>131</v>
      </c>
    </row>
    <row r="44" ht="15.75" customHeight="1">
      <c r="A44" s="34" t="s">
        <v>132</v>
      </c>
      <c r="B44" s="36">
        <v>5406</v>
      </c>
      <c r="D44" s="34" t="s">
        <v>133</v>
      </c>
      <c r="E44" s="35">
        <f>IF(OR(B43="",B44=""),"",B44-B43)</f>
        <v>3000</v>
      </c>
    </row>
    <row r="45" ht="15.75" customHeight="1">
      <c r="A45" s="34" t="s">
        <v>134</v>
      </c>
      <c r="B45" s="37">
        <v>901</v>
      </c>
      <c r="D45" s="34" t="s">
        <v>135</v>
      </c>
      <c r="E45" s="35">
        <f>IF(OR(B43=0,B43="",E44=""),"",E44/B43*100)</f>
        <v>124.688279301746</v>
      </c>
    </row>
    <row r="46" ht="15.75" customHeight="1">
      <c r="A46" s="34" t="s">
        <v>136</v>
      </c>
      <c r="B46" s="35">
        <f>C17</f>
        <v>3000</v>
      </c>
      <c r="D46" s="34" t="s">
        <v>137</v>
      </c>
      <c r="E46" s="35">
        <f>IF(OR(B44="",B45="",B45=0),"",B44/B45)</f>
        <v>6</v>
      </c>
    </row>
    <row r="47" ht="15.75" customHeight="1">
      <c r="D47" s="34" t="s">
        <v>138</v>
      </c>
      <c r="E47" s="35">
        <f>IF(E46="","",E46*1000)</f>
        <v>6000</v>
      </c>
    </row>
    <row r="48" ht="15.75" customHeight="1">
      <c r="D48" s="34" t="s">
        <v>139</v>
      </c>
      <c r="E48" s="35">
        <f>IF(OR(B46=0,B46="",E47=""),"",((E47-B46)/B46)*100)</f>
        <v>100</v>
      </c>
    </row>
    <row r="50" ht="18.75" customHeight="1">
      <c r="A50" s="21" t="s">
        <v>140</v>
      </c>
    </row>
    <row r="51" ht="15" customHeight="1">
      <c r="A51" s="38" t="s">
        <v>141</v>
      </c>
      <c r="B51" s="39">
        <v>660</v>
      </c>
      <c r="D51" s="38" t="s">
        <v>142</v>
      </c>
      <c r="E51" s="40">
        <f>IF(OR(B51="",B52=""),"",B51-B52)</f>
        <v>160</v>
      </c>
    </row>
    <row r="52" ht="15" customHeight="1">
      <c r="A52" s="38" t="s">
        <v>143</v>
      </c>
      <c r="B52" s="39">
        <v>500</v>
      </c>
      <c r="D52" s="38" t="s">
        <v>144</v>
      </c>
      <c r="E52" s="40">
        <f>IF(OR(B51=0,B51="",E51=""),"",(E51/B51)*21)</f>
        <v>5.09090909090909</v>
      </c>
    </row>
    <row r="53" ht="15" customHeight="1">
      <c r="A53" s="38" t="s">
        <v>145</v>
      </c>
      <c r="B53" s="41">
        <f>B45</f>
        <v>901</v>
      </c>
      <c r="D53" s="38" t="s">
        <v>146</v>
      </c>
      <c r="E53" s="40">
        <f>IF(OR(B53="",B53=0,B52=""),"",(B53*B52)/1000)</f>
        <v>450.5</v>
      </c>
    </row>
    <row r="54" ht="15" customHeight="1">
      <c r="D54" s="38" t="s">
        <v>147</v>
      </c>
      <c r="E54" s="40">
        <f>E47</f>
        <v>6000</v>
      </c>
    </row>
    <row r="55" ht="15" customHeight="1">
      <c r="D55" s="38" t="s">
        <v>148</v>
      </c>
      <c r="E55" s="42">
        <f>IF(OR(E54="",E54=0,B52="",B52=0),"",FLOOR(E54/B52,1))</f>
        <v>12</v>
      </c>
    </row>
    <row r="56" ht="15" customHeight="1">
      <c r="D56" s="38" t="s">
        <v>149</v>
      </c>
      <c r="E56" s="40">
        <f>IF(OR(E54="",E55="",B52=""),"",E54-(E55*B52))</f>
        <v>0</v>
      </c>
    </row>
    <row r="57" ht="15" customHeight="1">
      <c r="A57" s="43"/>
      <c r="B57" s="43"/>
      <c r="C57" s="43"/>
      <c r="D57" s="43"/>
      <c r="E57" s="43"/>
      <c r="F57" s="43"/>
      <c r="G57" s="43"/>
    </row>
    <row r="58" ht="18.75" customHeight="1">
      <c r="A58" s="2" t="s">
        <v>150</v>
      </c>
    </row>
    <row r="59" ht="15" customHeight="1">
      <c r="A59" s="7" t="s">
        <v>106</v>
      </c>
      <c r="B59" s="8">
        <v>120</v>
      </c>
      <c r="D59" s="44" t="s">
        <v>151</v>
      </c>
    </row>
    <row r="60" ht="15" customHeight="1">
      <c r="A60" s="7" t="s">
        <v>152</v>
      </c>
      <c r="B60" s="8" t="s">
        <v>153</v>
      </c>
      <c r="D60" s="7" t="s">
        <v>154</v>
      </c>
      <c r="E60" s="8"/>
      <c r="F60" s="7" t="s">
        <v>155</v>
      </c>
      <c r="G60" s="8"/>
    </row>
    <row r="61" ht="15" customHeight="1">
      <c r="A61" s="7" t="s">
        <v>156</v>
      </c>
      <c r="B61" s="8" t="s">
        <v>157</v>
      </c>
      <c r="D61" s="7" t="s">
        <v>158</v>
      </c>
      <c r="E61" s="8"/>
      <c r="F61" s="7" t="s">
        <v>155</v>
      </c>
      <c r="G61" s="8"/>
    </row>
    <row r="62" ht="15" customHeight="1">
      <c r="A62" s="7" t="s">
        <v>159</v>
      </c>
      <c r="B62" s="8"/>
      <c r="D62" s="7" t="s">
        <v>160</v>
      </c>
      <c r="E62" s="8"/>
      <c r="F62" s="7" t="s">
        <v>155</v>
      </c>
      <c r="G62" s="8"/>
    </row>
    <row r="64" ht="18.75" customHeight="1">
      <c r="A64" s="2" t="s">
        <v>161</v>
      </c>
    </row>
    <row r="65" ht="60" customHeight="1">
      <c r="A65" s="7" t="s">
        <v>162</v>
      </c>
      <c r="B65" s="8"/>
      <c r="D65" s="7" t="s">
        <v>163</v>
      </c>
      <c r="E65" s="45"/>
    </row>
    <row r="66" ht="15" customHeight="1">
      <c r="A66" s="7" t="s">
        <v>164</v>
      </c>
      <c r="B66" s="8"/>
    </row>
    <row r="67" ht="15" customHeight="1">
      <c r="A67" s="7" t="s">
        <v>165</v>
      </c>
      <c r="B67" s="8"/>
    </row>
  </sheetData>
  <mergeCells>
    <mergeCell ref="A1:H1"/>
    <mergeCell ref="A3:H3"/>
    <mergeCell ref="A9:H9"/>
    <mergeCell ref="A10:H10"/>
    <mergeCell ref="A19:G19"/>
    <mergeCell ref="D20:F20"/>
    <mergeCell ref="A28:G28"/>
    <mergeCell ref="E29:G32"/>
    <mergeCell ref="A33:G33"/>
    <mergeCell ref="E34:G34"/>
    <mergeCell ref="E35:G35"/>
    <mergeCell ref="E36:G36"/>
    <mergeCell ref="E37:G37"/>
    <mergeCell ref="E38:G38"/>
    <mergeCell ref="E39:G39"/>
    <mergeCell ref="A42:G42"/>
    <mergeCell ref="D43:G43"/>
    <mergeCell ref="A50:G50"/>
    <mergeCell ref="A58:G58"/>
    <mergeCell ref="D59:G59"/>
    <mergeCell ref="A64:G64"/>
    <mergeCell ref="E65:G68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675CD0B-C721-3E68-F026-4DDF186552E8}" mc:Ignorable="x14ac xr xr2 xr3">
  <dimension ref="A1:GR1000"/>
  <sheetViews>
    <sheetView topLeftCell="A1" workbookViewId="0" tabSelected="1">
      <pane ySplit="4" topLeftCell="A5" activePane="bottomLeft" state="frozen"/>
      <selection pane="bottomLeft" activeCell="A1" sqref="A1:R1"/>
    </sheetView>
  </sheetViews>
  <sheetFormatPr defaultRowHeight="15" defaultColWidth="8.8515625" customHeight="1"/>
  <cols>
    <col min="1" max="1" width="14.28125" customWidth="1"/>
    <col min="2" max="2" width="12.8515625" customWidth="1"/>
    <col min="3" max="3" width="21.421875" customWidth="1"/>
    <col min="4" max="4" width="8.57421875" customWidth="1"/>
    <col min="5" max="6" width="12.8515625" customWidth="1"/>
    <col min="7" max="7" width="25.7109375" customWidth="1"/>
    <col min="8" max="8" width="20.00390625" customWidth="1"/>
    <col min="9" max="9" width="11.421875" customWidth="1"/>
    <col min="10" max="10" width="12.8515625" customWidth="1"/>
    <col min="11" max="16" width="12.140625" customWidth="1"/>
    <col min="17" max="17" width="11.421875" customWidth="1"/>
    <col min="18" max="18" width="28.57421875" customWidth="1"/>
  </cols>
  <sheetData>
    <row r="1" ht="22.5" customHeight="1">
      <c r="A1" s="46" t="s">
        <v>166</v>
      </c>
    </row>
    <row r="2" ht="15" customHeight="1">
      <c r="A2" s="47" t="s">
        <v>167</v>
      </c>
    </row>
    <row r="4" ht="15" customHeight="1">
      <c r="A4" s="48" t="s">
        <v>168</v>
      </c>
      <c r="B4" s="48" t="s">
        <v>169</v>
      </c>
      <c r="C4" s="48" t="s">
        <v>170</v>
      </c>
      <c r="D4" s="48" t="s">
        <v>171</v>
      </c>
      <c r="E4" s="48" t="s">
        <v>172</v>
      </c>
      <c r="F4" s="48" t="s">
        <v>173</v>
      </c>
      <c r="G4" s="48" t="s">
        <v>174</v>
      </c>
      <c r="H4" s="48" t="s">
        <v>175</v>
      </c>
      <c r="I4" s="48" t="s">
        <v>176</v>
      </c>
      <c r="J4" s="48" t="s">
        <v>177</v>
      </c>
      <c r="K4" s="48" t="s">
        <v>178</v>
      </c>
      <c r="L4" s="48" t="s">
        <v>179</v>
      </c>
      <c r="M4" s="48" t="s">
        <v>180</v>
      </c>
      <c r="N4" s="48" t="s">
        <v>181</v>
      </c>
      <c r="O4" s="48" t="s">
        <v>182</v>
      </c>
      <c r="P4" s="48" t="s">
        <v>183</v>
      </c>
      <c r="Q4" s="48" t="s">
        <v>184</v>
      </c>
      <c r="R4" s="48" t="s">
        <v>7</v>
      </c>
    </row>
    <row r="5" ht="15" customHeight="1">
      <c r="A5" s="49"/>
      <c r="B5" s="50"/>
      <c r="C5" s="49"/>
      <c r="D5" s="49"/>
      <c r="E5" s="51"/>
      <c r="F5" s="51"/>
      <c r="G5" s="49"/>
      <c r="H5" s="49"/>
      <c r="I5" s="52"/>
      <c r="J5" s="49"/>
      <c r="K5" s="51"/>
      <c r="L5" s="51"/>
      <c r="M5" s="52"/>
      <c r="N5" s="52"/>
      <c r="O5" s="51"/>
      <c r="P5" s="51"/>
      <c r="Q5" s="49"/>
      <c r="R5" s="49"/>
    </row>
    <row r="6" ht="15" customHeight="1">
      <c r="A6" s="53"/>
      <c r="B6" s="54"/>
      <c r="C6" s="53"/>
      <c r="D6" s="53"/>
      <c r="E6" s="55"/>
      <c r="F6" s="55"/>
      <c r="G6" s="53"/>
      <c r="H6" s="53"/>
      <c r="I6" s="56"/>
      <c r="J6" s="53"/>
      <c r="K6" s="55"/>
      <c r="L6" s="55"/>
      <c r="M6" s="56"/>
      <c r="N6" s="56"/>
      <c r="O6" s="55"/>
      <c r="P6" s="55"/>
      <c r="Q6" s="53"/>
      <c r="R6" s="53"/>
    </row>
    <row r="7" ht="15" customHeight="1">
      <c r="A7" s="49"/>
      <c r="B7" s="50"/>
      <c r="C7" s="49"/>
      <c r="D7" s="49"/>
      <c r="E7" s="51"/>
      <c r="F7" s="51"/>
      <c r="G7" s="49"/>
      <c r="H7" s="49"/>
      <c r="I7" s="52"/>
      <c r="J7" s="49"/>
      <c r="K7" s="51"/>
      <c r="L7" s="51"/>
      <c r="M7" s="52"/>
      <c r="N7" s="52"/>
      <c r="O7" s="51"/>
      <c r="P7" s="51"/>
      <c r="Q7" s="49"/>
      <c r="R7" s="49"/>
    </row>
    <row r="8" ht="15" customHeight="1">
      <c r="A8" s="53"/>
      <c r="B8" s="54"/>
      <c r="C8" s="53"/>
      <c r="D8" s="53"/>
      <c r="E8" s="55"/>
      <c r="F8" s="55"/>
      <c r="G8" s="53"/>
      <c r="H8" s="53"/>
      <c r="I8" s="56"/>
      <c r="J8" s="53"/>
      <c r="K8" s="55"/>
      <c r="L8" s="55"/>
      <c r="M8" s="56"/>
      <c r="N8" s="56"/>
      <c r="O8" s="55"/>
      <c r="P8" s="55"/>
      <c r="Q8" s="53"/>
      <c r="R8" s="53"/>
    </row>
    <row r="9" ht="15" customHeight="1">
      <c r="A9" s="49"/>
      <c r="B9" s="50"/>
      <c r="C9" s="49"/>
      <c r="D9" s="49"/>
      <c r="E9" s="51"/>
      <c r="F9" s="51"/>
      <c r="G9" s="49"/>
      <c r="H9" s="49"/>
      <c r="I9" s="52"/>
      <c r="J9" s="49"/>
      <c r="K9" s="51"/>
      <c r="L9" s="51"/>
      <c r="M9" s="52"/>
      <c r="N9" s="52"/>
      <c r="O9" s="51"/>
      <c r="P9" s="51"/>
      <c r="Q9" s="49"/>
      <c r="R9" s="49"/>
    </row>
    <row r="10" ht="15" customHeight="1">
      <c r="A10" s="53"/>
      <c r="B10" s="54"/>
      <c r="C10" s="53"/>
      <c r="D10" s="53"/>
      <c r="E10" s="55"/>
      <c r="F10" s="55"/>
      <c r="G10" s="53"/>
      <c r="H10" s="53"/>
      <c r="I10" s="56"/>
      <c r="J10" s="53"/>
      <c r="K10" s="55"/>
      <c r="L10" s="55"/>
      <c r="M10" s="56"/>
      <c r="N10" s="56"/>
      <c r="O10" s="55"/>
      <c r="P10" s="55"/>
      <c r="Q10" s="53"/>
      <c r="R10" s="53"/>
    </row>
    <row r="11" ht="15" customHeight="1">
      <c r="A11" s="49"/>
      <c r="B11" s="50"/>
      <c r="C11" s="49"/>
      <c r="D11" s="49"/>
      <c r="E11" s="51"/>
      <c r="F11" s="51"/>
      <c r="G11" s="49"/>
      <c r="H11" s="49"/>
      <c r="I11" s="52"/>
      <c r="J11" s="49"/>
      <c r="K11" s="51"/>
      <c r="L11" s="51"/>
      <c r="M11" s="52"/>
      <c r="N11" s="52"/>
      <c r="O11" s="51"/>
      <c r="P11" s="51"/>
      <c r="Q11" s="49"/>
      <c r="R11" s="49"/>
    </row>
    <row r="12" ht="15" customHeight="1">
      <c r="A12" s="53"/>
      <c r="B12" s="54"/>
      <c r="C12" s="53"/>
      <c r="D12" s="53"/>
      <c r="E12" s="55"/>
      <c r="F12" s="55"/>
      <c r="G12" s="53"/>
      <c r="H12" s="53"/>
      <c r="I12" s="56"/>
      <c r="J12" s="53"/>
      <c r="K12" s="55"/>
      <c r="L12" s="55"/>
      <c r="M12" s="56"/>
      <c r="N12" s="56"/>
      <c r="O12" s="55"/>
      <c r="P12" s="55"/>
      <c r="Q12" s="53"/>
      <c r="R12" s="53"/>
    </row>
    <row r="13" ht="15" customHeight="1">
      <c r="A13" s="49"/>
      <c r="B13" s="50"/>
      <c r="C13" s="49"/>
      <c r="D13" s="49"/>
      <c r="E13" s="51"/>
      <c r="F13" s="51"/>
      <c r="G13" s="49"/>
      <c r="H13" s="49"/>
      <c r="I13" s="52"/>
      <c r="J13" s="49"/>
      <c r="K13" s="51"/>
      <c r="L13" s="51"/>
      <c r="M13" s="52"/>
      <c r="N13" s="52"/>
      <c r="O13" s="51"/>
      <c r="P13" s="51"/>
      <c r="Q13" s="49"/>
      <c r="R13" s="49"/>
    </row>
    <row r="14" ht="15" customHeight="1">
      <c r="A14" s="53"/>
      <c r="B14" s="54"/>
      <c r="C14" s="53"/>
      <c r="D14" s="53"/>
      <c r="E14" s="55"/>
      <c r="F14" s="55"/>
      <c r="G14" s="53"/>
      <c r="H14" s="53"/>
      <c r="I14" s="56"/>
      <c r="J14" s="53"/>
      <c r="K14" s="55"/>
      <c r="L14" s="55"/>
      <c r="M14" s="56"/>
      <c r="N14" s="56"/>
      <c r="O14" s="55"/>
      <c r="P14" s="55"/>
      <c r="Q14" s="53"/>
      <c r="R14" s="53"/>
    </row>
    <row r="15" ht="15" customHeight="1">
      <c r="A15" s="49"/>
      <c r="B15" s="50"/>
      <c r="C15" s="49"/>
      <c r="D15" s="49"/>
      <c r="E15" s="51"/>
      <c r="F15" s="51"/>
      <c r="G15" s="49"/>
      <c r="H15" s="49"/>
      <c r="I15" s="52"/>
      <c r="J15" s="49"/>
      <c r="K15" s="51"/>
      <c r="L15" s="51"/>
      <c r="M15" s="52"/>
      <c r="N15" s="52"/>
      <c r="O15" s="51"/>
      <c r="P15" s="51"/>
      <c r="Q15" s="49"/>
      <c r="R15" s="49"/>
    </row>
    <row r="16" ht="15" customHeight="1">
      <c r="A16" s="53"/>
      <c r="B16" s="54"/>
      <c r="C16" s="53"/>
      <c r="D16" s="53"/>
      <c r="E16" s="55"/>
      <c r="F16" s="55"/>
      <c r="G16" s="53"/>
      <c r="H16" s="53"/>
      <c r="I16" s="56"/>
      <c r="J16" s="53"/>
      <c r="K16" s="55"/>
      <c r="L16" s="55"/>
      <c r="M16" s="56"/>
      <c r="N16" s="56"/>
      <c r="O16" s="55"/>
      <c r="P16" s="55"/>
      <c r="Q16" s="53"/>
      <c r="R16" s="53"/>
    </row>
    <row r="17" ht="15" customHeight="1">
      <c r="A17" s="49"/>
      <c r="B17" s="50"/>
      <c r="C17" s="49"/>
      <c r="D17" s="49"/>
      <c r="E17" s="51"/>
      <c r="F17" s="51"/>
      <c r="G17" s="49"/>
      <c r="H17" s="49"/>
      <c r="I17" s="52"/>
      <c r="J17" s="49"/>
      <c r="K17" s="51"/>
      <c r="L17" s="51"/>
      <c r="M17" s="52"/>
      <c r="N17" s="52"/>
      <c r="O17" s="51"/>
      <c r="P17" s="51"/>
      <c r="Q17" s="49"/>
      <c r="R17" s="49"/>
    </row>
    <row r="18" ht="15" customHeight="1">
      <c r="A18" s="53"/>
      <c r="B18" s="54"/>
      <c r="C18" s="53"/>
      <c r="D18" s="53"/>
      <c r="E18" s="55"/>
      <c r="F18" s="55"/>
      <c r="G18" s="53"/>
      <c r="H18" s="53"/>
      <c r="I18" s="56"/>
      <c r="J18" s="53"/>
      <c r="K18" s="55"/>
      <c r="L18" s="55"/>
      <c r="M18" s="56"/>
      <c r="N18" s="56"/>
      <c r="O18" s="55"/>
      <c r="P18" s="55"/>
      <c r="Q18" s="53"/>
      <c r="R18" s="53"/>
    </row>
    <row r="19" ht="15" customHeight="1">
      <c r="A19" s="49"/>
      <c r="B19" s="50"/>
      <c r="C19" s="49"/>
      <c r="D19" s="49"/>
      <c r="E19" s="51"/>
      <c r="F19" s="51"/>
      <c r="G19" s="49"/>
      <c r="H19" s="49"/>
      <c r="I19" s="52"/>
      <c r="J19" s="49"/>
      <c r="K19" s="51"/>
      <c r="L19" s="51"/>
      <c r="M19" s="52"/>
      <c r="N19" s="52"/>
      <c r="O19" s="51"/>
      <c r="P19" s="51"/>
      <c r="Q19" s="49"/>
      <c r="R19" s="49"/>
    </row>
    <row r="20" ht="15" customHeight="1">
      <c r="A20" s="53"/>
      <c r="B20" s="54"/>
      <c r="C20" s="53"/>
      <c r="D20" s="53"/>
      <c r="E20" s="55"/>
      <c r="F20" s="55"/>
      <c r="G20" s="53"/>
      <c r="H20" s="53"/>
      <c r="I20" s="56"/>
      <c r="J20" s="53"/>
      <c r="K20" s="55"/>
      <c r="L20" s="55"/>
      <c r="M20" s="56"/>
      <c r="N20" s="56"/>
      <c r="O20" s="55"/>
      <c r="P20" s="55"/>
      <c r="Q20" s="53"/>
      <c r="R20" s="53"/>
    </row>
    <row r="21" ht="15" customHeight="1">
      <c r="A21" s="49"/>
      <c r="B21" s="50"/>
      <c r="C21" s="49"/>
      <c r="D21" s="49"/>
      <c r="E21" s="51"/>
      <c r="F21" s="51"/>
      <c r="G21" s="49"/>
      <c r="H21" s="49"/>
      <c r="I21" s="52"/>
      <c r="J21" s="49"/>
      <c r="K21" s="51"/>
      <c r="L21" s="51"/>
      <c r="M21" s="52"/>
      <c r="N21" s="52"/>
      <c r="O21" s="51"/>
      <c r="P21" s="51"/>
      <c r="Q21" s="49"/>
      <c r="R21" s="49"/>
    </row>
    <row r="22" ht="15" customHeight="1">
      <c r="A22" s="53"/>
      <c r="B22" s="54"/>
      <c r="C22" s="53"/>
      <c r="D22" s="53"/>
      <c r="E22" s="55"/>
      <c r="F22" s="55"/>
      <c r="G22" s="53"/>
      <c r="H22" s="53"/>
      <c r="I22" s="56"/>
      <c r="J22" s="53"/>
      <c r="K22" s="55"/>
      <c r="L22" s="55"/>
      <c r="M22" s="56"/>
      <c r="N22" s="56"/>
      <c r="O22" s="55"/>
      <c r="P22" s="55"/>
      <c r="Q22" s="53"/>
      <c r="R22" s="53"/>
    </row>
    <row r="23" ht="15" customHeight="1">
      <c r="A23" s="49"/>
      <c r="B23" s="50"/>
      <c r="C23" s="49"/>
      <c r="D23" s="49"/>
      <c r="E23" s="51"/>
      <c r="F23" s="51"/>
      <c r="G23" s="49"/>
      <c r="H23" s="49"/>
      <c r="I23" s="52"/>
      <c r="J23" s="49"/>
      <c r="K23" s="51"/>
      <c r="L23" s="51"/>
      <c r="M23" s="52"/>
      <c r="N23" s="52"/>
      <c r="O23" s="51"/>
      <c r="P23" s="51"/>
      <c r="Q23" s="49"/>
      <c r="R23" s="49"/>
    </row>
    <row r="24" ht="15" customHeight="1">
      <c r="A24" s="53"/>
      <c r="B24" s="54"/>
      <c r="C24" s="53"/>
      <c r="D24" s="53"/>
      <c r="E24" s="55"/>
      <c r="F24" s="55"/>
      <c r="G24" s="53"/>
      <c r="H24" s="53"/>
      <c r="I24" s="56"/>
      <c r="J24" s="53"/>
      <c r="K24" s="55"/>
      <c r="L24" s="55"/>
      <c r="M24" s="56"/>
      <c r="N24" s="56"/>
      <c r="O24" s="55"/>
      <c r="P24" s="55"/>
      <c r="Q24" s="53"/>
      <c r="R24" s="53"/>
    </row>
    <row r="25" ht="15" customHeight="1">
      <c r="A25" s="49"/>
      <c r="B25" s="50"/>
      <c r="C25" s="49"/>
      <c r="D25" s="49"/>
      <c r="E25" s="51"/>
      <c r="F25" s="51"/>
      <c r="G25" s="49"/>
      <c r="H25" s="49"/>
      <c r="I25" s="52"/>
      <c r="J25" s="49"/>
      <c r="K25" s="51"/>
      <c r="L25" s="51"/>
      <c r="M25" s="52"/>
      <c r="N25" s="52"/>
      <c r="O25" s="51"/>
      <c r="P25" s="51"/>
      <c r="Q25" s="49"/>
      <c r="R25" s="49"/>
    </row>
    <row r="26" ht="15" customHeight="1">
      <c r="A26" s="53"/>
      <c r="B26" s="54"/>
      <c r="C26" s="53"/>
      <c r="D26" s="53"/>
      <c r="E26" s="55"/>
      <c r="F26" s="55"/>
      <c r="G26" s="53"/>
      <c r="H26" s="53"/>
      <c r="I26" s="56"/>
      <c r="J26" s="53"/>
      <c r="K26" s="55"/>
      <c r="L26" s="55"/>
      <c r="M26" s="56"/>
      <c r="N26" s="56"/>
      <c r="O26" s="55"/>
      <c r="P26" s="55"/>
      <c r="Q26" s="53"/>
      <c r="R26" s="53"/>
    </row>
    <row r="27" ht="15" customHeight="1">
      <c r="A27" s="49"/>
      <c r="B27" s="50"/>
      <c r="C27" s="49"/>
      <c r="D27" s="49"/>
      <c r="E27" s="51"/>
      <c r="F27" s="51"/>
      <c r="G27" s="49"/>
      <c r="H27" s="49"/>
      <c r="I27" s="52"/>
      <c r="J27" s="49"/>
      <c r="K27" s="51"/>
      <c r="L27" s="51"/>
      <c r="M27" s="52"/>
      <c r="N27" s="52"/>
      <c r="O27" s="51"/>
      <c r="P27" s="51"/>
      <c r="Q27" s="49"/>
      <c r="R27" s="49"/>
    </row>
    <row r="28" ht="15" customHeight="1">
      <c r="A28" s="53"/>
      <c r="B28" s="54"/>
      <c r="C28" s="53"/>
      <c r="D28" s="53"/>
      <c r="E28" s="55"/>
      <c r="F28" s="55"/>
      <c r="G28" s="53"/>
      <c r="H28" s="53"/>
      <c r="I28" s="56"/>
      <c r="J28" s="53"/>
      <c r="K28" s="55"/>
      <c r="L28" s="55"/>
      <c r="M28" s="56"/>
      <c r="N28" s="56"/>
      <c r="O28" s="55"/>
      <c r="P28" s="55"/>
      <c r="Q28" s="53"/>
      <c r="R28" s="53"/>
    </row>
    <row r="29" ht="15" customHeight="1">
      <c r="A29" s="49"/>
      <c r="B29" s="50"/>
      <c r="C29" s="49"/>
      <c r="D29" s="49"/>
      <c r="E29" s="51"/>
      <c r="F29" s="51"/>
      <c r="G29" s="49"/>
      <c r="H29" s="49"/>
      <c r="I29" s="52"/>
      <c r="J29" s="49"/>
      <c r="K29" s="51"/>
      <c r="L29" s="51"/>
      <c r="M29" s="52"/>
      <c r="N29" s="52"/>
      <c r="O29" s="51"/>
      <c r="P29" s="51"/>
      <c r="Q29" s="49"/>
      <c r="R29" s="49"/>
    </row>
    <row r="30" ht="15" customHeight="1">
      <c r="A30" s="53"/>
      <c r="B30" s="54"/>
      <c r="C30" s="53"/>
      <c r="D30" s="53"/>
      <c r="E30" s="55"/>
      <c r="F30" s="55"/>
      <c r="G30" s="53"/>
      <c r="H30" s="53"/>
      <c r="I30" s="56"/>
      <c r="J30" s="53"/>
      <c r="K30" s="55"/>
      <c r="L30" s="55"/>
      <c r="M30" s="56"/>
      <c r="N30" s="56"/>
      <c r="O30" s="55"/>
      <c r="P30" s="55"/>
      <c r="Q30" s="53"/>
      <c r="R30" s="53"/>
    </row>
    <row r="31" ht="15" customHeight="1">
      <c r="A31" s="49"/>
      <c r="B31" s="50"/>
      <c r="C31" s="49"/>
      <c r="D31" s="49"/>
      <c r="E31" s="51"/>
      <c r="F31" s="51"/>
      <c r="G31" s="49"/>
      <c r="H31" s="49"/>
      <c r="I31" s="52"/>
      <c r="J31" s="49"/>
      <c r="K31" s="51"/>
      <c r="L31" s="51"/>
      <c r="M31" s="52"/>
      <c r="N31" s="52"/>
      <c r="O31" s="51"/>
      <c r="P31" s="51"/>
      <c r="Q31" s="49"/>
      <c r="R31" s="49"/>
    </row>
    <row r="32" ht="15" customHeight="1">
      <c r="A32" s="53"/>
      <c r="B32" s="54"/>
      <c r="C32" s="53"/>
      <c r="D32" s="53"/>
      <c r="E32" s="55"/>
      <c r="F32" s="55"/>
      <c r="G32" s="53"/>
      <c r="H32" s="53"/>
      <c r="I32" s="56"/>
      <c r="J32" s="53"/>
      <c r="K32" s="55"/>
      <c r="L32" s="55"/>
      <c r="M32" s="56"/>
      <c r="N32" s="56"/>
      <c r="O32" s="55"/>
      <c r="P32" s="55"/>
      <c r="Q32" s="53"/>
      <c r="R32" s="53"/>
    </row>
    <row r="33" ht="15" customHeight="1">
      <c r="A33" s="49"/>
      <c r="B33" s="50"/>
      <c r="C33" s="49"/>
      <c r="D33" s="49"/>
      <c r="E33" s="51"/>
      <c r="F33" s="51"/>
      <c r="G33" s="49"/>
      <c r="H33" s="49"/>
      <c r="I33" s="52"/>
      <c r="J33" s="49"/>
      <c r="K33" s="51"/>
      <c r="L33" s="51"/>
      <c r="M33" s="52"/>
      <c r="N33" s="52"/>
      <c r="O33" s="51"/>
      <c r="P33" s="51"/>
      <c r="Q33" s="49"/>
      <c r="R33" s="49"/>
    </row>
    <row r="34" ht="15" customHeight="1">
      <c r="A34" s="53"/>
      <c r="B34" s="54"/>
      <c r="C34" s="53"/>
      <c r="D34" s="53"/>
      <c r="E34" s="55"/>
      <c r="F34" s="55"/>
      <c r="G34" s="53"/>
      <c r="H34" s="53"/>
      <c r="I34" s="56"/>
      <c r="J34" s="53"/>
      <c r="K34" s="55"/>
      <c r="L34" s="55"/>
      <c r="M34" s="56"/>
      <c r="N34" s="56"/>
      <c r="O34" s="55"/>
      <c r="P34" s="55"/>
      <c r="Q34" s="53"/>
      <c r="R34" s="53"/>
    </row>
    <row r="35" ht="15" customHeight="1">
      <c r="A35" s="49"/>
      <c r="B35" s="50"/>
      <c r="C35" s="49"/>
      <c r="D35" s="49"/>
      <c r="E35" s="51"/>
      <c r="F35" s="51"/>
      <c r="G35" s="49"/>
      <c r="H35" s="49"/>
      <c r="I35" s="52"/>
      <c r="J35" s="49"/>
      <c r="K35" s="51"/>
      <c r="L35" s="51"/>
      <c r="M35" s="52"/>
      <c r="N35" s="52"/>
      <c r="O35" s="51"/>
      <c r="P35" s="51"/>
      <c r="Q35" s="49"/>
      <c r="R35" s="49"/>
    </row>
    <row r="36" ht="15" customHeight="1">
      <c r="A36" s="53"/>
      <c r="B36" s="54"/>
      <c r="C36" s="53"/>
      <c r="D36" s="53"/>
      <c r="E36" s="55"/>
      <c r="F36" s="55"/>
      <c r="G36" s="53"/>
      <c r="H36" s="53"/>
      <c r="I36" s="56"/>
      <c r="J36" s="53"/>
      <c r="K36" s="55"/>
      <c r="L36" s="55"/>
      <c r="M36" s="56"/>
      <c r="N36" s="56"/>
      <c r="O36" s="55"/>
      <c r="P36" s="55"/>
      <c r="Q36" s="53"/>
      <c r="R36" s="53"/>
    </row>
    <row r="37" ht="15" customHeight="1">
      <c r="A37" s="49"/>
      <c r="B37" s="50"/>
      <c r="C37" s="49"/>
      <c r="D37" s="49"/>
      <c r="E37" s="51"/>
      <c r="F37" s="51"/>
      <c r="G37" s="49"/>
      <c r="H37" s="49"/>
      <c r="I37" s="52"/>
      <c r="J37" s="49"/>
      <c r="K37" s="51"/>
      <c r="L37" s="51"/>
      <c r="M37" s="52"/>
      <c r="N37" s="52"/>
      <c r="O37" s="51"/>
      <c r="P37" s="51"/>
      <c r="Q37" s="49"/>
      <c r="R37" s="49"/>
    </row>
    <row r="38" ht="15" customHeight="1">
      <c r="A38" s="53"/>
      <c r="B38" s="54"/>
      <c r="C38" s="53"/>
      <c r="D38" s="53"/>
      <c r="E38" s="55"/>
      <c r="F38" s="55"/>
      <c r="G38" s="53"/>
      <c r="H38" s="53"/>
      <c r="I38" s="56"/>
      <c r="J38" s="53"/>
      <c r="K38" s="55"/>
      <c r="L38" s="55"/>
      <c r="M38" s="56"/>
      <c r="N38" s="56"/>
      <c r="O38" s="55"/>
      <c r="P38" s="55"/>
      <c r="Q38" s="53"/>
      <c r="R38" s="53"/>
    </row>
    <row r="39" ht="15" customHeight="1">
      <c r="A39" s="49"/>
      <c r="B39" s="50"/>
      <c r="C39" s="49"/>
      <c r="D39" s="49"/>
      <c r="E39" s="51"/>
      <c r="F39" s="51"/>
      <c r="G39" s="49"/>
      <c r="H39" s="49"/>
      <c r="I39" s="52"/>
      <c r="J39" s="49"/>
      <c r="K39" s="51"/>
      <c r="L39" s="51"/>
      <c r="M39" s="52"/>
      <c r="N39" s="52"/>
      <c r="O39" s="51"/>
      <c r="P39" s="51"/>
      <c r="Q39" s="49"/>
      <c r="R39" s="49"/>
    </row>
    <row r="40" ht="15" customHeight="1">
      <c r="A40" s="53"/>
      <c r="B40" s="54"/>
      <c r="C40" s="53"/>
      <c r="D40" s="53"/>
      <c r="E40" s="55"/>
      <c r="F40" s="55"/>
      <c r="G40" s="53"/>
      <c r="H40" s="53"/>
      <c r="I40" s="56"/>
      <c r="J40" s="53"/>
      <c r="K40" s="55"/>
      <c r="L40" s="55"/>
      <c r="M40" s="56"/>
      <c r="N40" s="56"/>
      <c r="O40" s="55"/>
      <c r="P40" s="55"/>
      <c r="Q40" s="53"/>
      <c r="R40" s="53"/>
    </row>
    <row r="41" ht="15" customHeight="1">
      <c r="A41" s="49"/>
      <c r="B41" s="50"/>
      <c r="C41" s="49"/>
      <c r="D41" s="49"/>
      <c r="E41" s="51"/>
      <c r="F41" s="51"/>
      <c r="G41" s="49"/>
      <c r="H41" s="49"/>
      <c r="I41" s="52"/>
      <c r="J41" s="49"/>
      <c r="K41" s="51"/>
      <c r="L41" s="51"/>
      <c r="M41" s="52"/>
      <c r="N41" s="52"/>
      <c r="O41" s="51"/>
      <c r="P41" s="51"/>
      <c r="Q41" s="49"/>
      <c r="R41" s="49"/>
    </row>
    <row r="42" ht="15" customHeight="1">
      <c r="A42" s="53"/>
      <c r="B42" s="54"/>
      <c r="C42" s="53"/>
      <c r="D42" s="53"/>
      <c r="E42" s="55"/>
      <c r="F42" s="55"/>
      <c r="G42" s="53"/>
      <c r="H42" s="53"/>
      <c r="I42" s="56"/>
      <c r="J42" s="53"/>
      <c r="K42" s="55"/>
      <c r="L42" s="55"/>
      <c r="M42" s="56"/>
      <c r="N42" s="56"/>
      <c r="O42" s="55"/>
      <c r="P42" s="55"/>
      <c r="Q42" s="53"/>
      <c r="R42" s="53"/>
    </row>
    <row r="43" ht="15" customHeight="1">
      <c r="A43" s="49"/>
      <c r="B43" s="50"/>
      <c r="C43" s="49"/>
      <c r="D43" s="49"/>
      <c r="E43" s="51"/>
      <c r="F43" s="51"/>
      <c r="G43" s="49"/>
      <c r="H43" s="49"/>
      <c r="I43" s="52"/>
      <c r="J43" s="49"/>
      <c r="K43" s="51"/>
      <c r="L43" s="51"/>
      <c r="M43" s="52"/>
      <c r="N43" s="52"/>
      <c r="O43" s="51"/>
      <c r="P43" s="51"/>
      <c r="Q43" s="49"/>
      <c r="R43" s="49"/>
    </row>
    <row r="44" ht="15" customHeight="1">
      <c r="A44" s="53"/>
      <c r="B44" s="54"/>
      <c r="C44" s="53"/>
      <c r="D44" s="53"/>
      <c r="E44" s="55"/>
      <c r="F44" s="55"/>
      <c r="G44" s="53"/>
      <c r="H44" s="53"/>
      <c r="I44" s="56"/>
      <c r="J44" s="53"/>
      <c r="K44" s="55"/>
      <c r="L44" s="55"/>
      <c r="M44" s="56"/>
      <c r="N44" s="56"/>
      <c r="O44" s="55"/>
      <c r="P44" s="55"/>
      <c r="Q44" s="53"/>
      <c r="R44" s="53"/>
    </row>
    <row r="45" ht="15" customHeight="1">
      <c r="A45" s="49"/>
      <c r="B45" s="50"/>
      <c r="C45" s="49"/>
      <c r="D45" s="49"/>
      <c r="E45" s="51"/>
      <c r="F45" s="51"/>
      <c r="G45" s="49"/>
      <c r="H45" s="49"/>
      <c r="I45" s="52"/>
      <c r="J45" s="49"/>
      <c r="K45" s="51"/>
      <c r="L45" s="51"/>
      <c r="M45" s="52"/>
      <c r="N45" s="52"/>
      <c r="O45" s="51"/>
      <c r="P45" s="51"/>
      <c r="Q45" s="49"/>
      <c r="R45" s="49"/>
    </row>
    <row r="46" ht="15" customHeight="1">
      <c r="A46" s="53"/>
      <c r="B46" s="54"/>
      <c r="C46" s="53"/>
      <c r="D46" s="53"/>
      <c r="E46" s="55"/>
      <c r="F46" s="55"/>
      <c r="G46" s="53"/>
      <c r="H46" s="53"/>
      <c r="I46" s="56"/>
      <c r="J46" s="53"/>
      <c r="K46" s="55"/>
      <c r="L46" s="55"/>
      <c r="M46" s="56"/>
      <c r="N46" s="56"/>
      <c r="O46" s="55"/>
      <c r="P46" s="55"/>
      <c r="Q46" s="53"/>
      <c r="R46" s="53"/>
    </row>
    <row r="47" ht="15" customHeight="1">
      <c r="A47" s="49"/>
      <c r="B47" s="50"/>
      <c r="C47" s="49"/>
      <c r="D47" s="49"/>
      <c r="E47" s="51"/>
      <c r="F47" s="51"/>
      <c r="G47" s="49"/>
      <c r="H47" s="49"/>
      <c r="I47" s="52"/>
      <c r="J47" s="49"/>
      <c r="K47" s="51"/>
      <c r="L47" s="51"/>
      <c r="M47" s="52"/>
      <c r="N47" s="52"/>
      <c r="O47" s="51"/>
      <c r="P47" s="51"/>
      <c r="Q47" s="49"/>
      <c r="R47" s="49"/>
    </row>
    <row r="48" ht="15" customHeight="1">
      <c r="A48" s="53"/>
      <c r="B48" s="54"/>
      <c r="C48" s="53"/>
      <c r="D48" s="53"/>
      <c r="E48" s="55"/>
      <c r="F48" s="55"/>
      <c r="G48" s="53"/>
      <c r="H48" s="53"/>
      <c r="I48" s="56"/>
      <c r="J48" s="53"/>
      <c r="K48" s="55"/>
      <c r="L48" s="55"/>
      <c r="M48" s="56"/>
      <c r="N48" s="56"/>
      <c r="O48" s="55"/>
      <c r="P48" s="55"/>
      <c r="Q48" s="53"/>
      <c r="R48" s="53"/>
    </row>
    <row r="49" ht="15" customHeight="1">
      <c r="A49" s="49"/>
      <c r="B49" s="50"/>
      <c r="C49" s="49"/>
      <c r="D49" s="49"/>
      <c r="E49" s="51"/>
      <c r="F49" s="51"/>
      <c r="G49" s="49"/>
      <c r="H49" s="49"/>
      <c r="I49" s="52"/>
      <c r="J49" s="49"/>
      <c r="K49" s="51"/>
      <c r="L49" s="51"/>
      <c r="M49" s="52"/>
      <c r="N49" s="52"/>
      <c r="O49" s="51"/>
      <c r="P49" s="51"/>
      <c r="Q49" s="49"/>
      <c r="R49" s="49"/>
    </row>
    <row r="50" ht="15" customHeight="1">
      <c r="A50" s="53"/>
      <c r="B50" s="54"/>
      <c r="C50" s="53"/>
      <c r="D50" s="53"/>
      <c r="E50" s="55"/>
      <c r="F50" s="55"/>
      <c r="G50" s="53"/>
      <c r="H50" s="53"/>
      <c r="I50" s="56"/>
      <c r="J50" s="53"/>
      <c r="K50" s="55"/>
      <c r="L50" s="55"/>
      <c r="M50" s="56"/>
      <c r="N50" s="56"/>
      <c r="O50" s="55"/>
      <c r="P50" s="55"/>
      <c r="Q50" s="53"/>
      <c r="R50" s="53"/>
    </row>
    <row r="51" ht="15" customHeight="1">
      <c r="A51" s="49"/>
      <c r="B51" s="50"/>
      <c r="C51" s="49"/>
      <c r="D51" s="49"/>
      <c r="E51" s="51"/>
      <c r="F51" s="51"/>
      <c r="G51" s="49"/>
      <c r="H51" s="49"/>
      <c r="I51" s="52"/>
      <c r="J51" s="49"/>
      <c r="K51" s="51"/>
      <c r="L51" s="51"/>
      <c r="M51" s="52"/>
      <c r="N51" s="52"/>
      <c r="O51" s="51"/>
      <c r="P51" s="51"/>
      <c r="Q51" s="49"/>
      <c r="R51" s="49"/>
    </row>
    <row r="52" ht="15" customHeight="1">
      <c r="A52" s="53"/>
      <c r="B52" s="54"/>
      <c r="C52" s="53"/>
      <c r="D52" s="53"/>
      <c r="E52" s="55"/>
      <c r="F52" s="55"/>
      <c r="G52" s="53"/>
      <c r="H52" s="53"/>
      <c r="I52" s="56"/>
      <c r="J52" s="53"/>
      <c r="K52" s="55"/>
      <c r="L52" s="55"/>
      <c r="M52" s="56"/>
      <c r="N52" s="56"/>
      <c r="O52" s="55"/>
      <c r="P52" s="55"/>
      <c r="Q52" s="53"/>
      <c r="R52" s="53"/>
    </row>
    <row r="53" ht="15" customHeight="1">
      <c r="A53" s="49"/>
      <c r="B53" s="50"/>
      <c r="C53" s="49"/>
      <c r="D53" s="49"/>
      <c r="E53" s="51"/>
      <c r="F53" s="51"/>
      <c r="G53" s="49"/>
      <c r="H53" s="49"/>
      <c r="I53" s="52"/>
      <c r="J53" s="49"/>
      <c r="K53" s="51"/>
      <c r="L53" s="51"/>
      <c r="M53" s="52"/>
      <c r="N53" s="52"/>
      <c r="O53" s="51"/>
      <c r="P53" s="51"/>
      <c r="Q53" s="49"/>
      <c r="R53" s="49"/>
    </row>
    <row r="54" ht="15" customHeight="1">
      <c r="A54" s="53"/>
      <c r="B54" s="54"/>
      <c r="C54" s="53"/>
      <c r="D54" s="53"/>
      <c r="E54" s="55"/>
      <c r="F54" s="55"/>
      <c r="G54" s="53"/>
      <c r="H54" s="53"/>
      <c r="I54" s="56"/>
      <c r="J54" s="53"/>
      <c r="K54" s="55"/>
      <c r="L54" s="55"/>
      <c r="M54" s="56"/>
      <c r="N54" s="56"/>
      <c r="O54" s="55"/>
      <c r="P54" s="55"/>
      <c r="Q54" s="53"/>
      <c r="R54" s="53"/>
    </row>
    <row r="56" ht="15.75" customHeight="1">
      <c r="A56" s="57" t="s">
        <v>185</v>
      </c>
    </row>
    <row r="57" ht="15" customHeight="1">
      <c r="A57" s="58" t="s">
        <v>186</v>
      </c>
      <c r="B57" s="58">
        <f>COUNTA(A5:A54)</f>
        <v>0</v>
      </c>
      <c r="C57" s="59"/>
      <c r="D57" s="59"/>
      <c r="E57" s="58" t="s">
        <v>187</v>
      </c>
      <c r="F57" s="60" t="str">
        <f>_xlfn.IFERROR(AVERAGE(M5:M54),"")</f>
        <v/>
      </c>
      <c r="G57" s="59"/>
      <c r="H57" s="59"/>
      <c r="I57" s="58" t="s">
        <v>188</v>
      </c>
      <c r="J57" s="61" t="str">
        <f>_xlfn.IFERROR(AVERAGE(O5:O54),"")</f>
        <v/>
      </c>
      <c r="K57" s="59"/>
      <c r="L57" s="59"/>
      <c r="M57" s="59"/>
      <c r="N57" s="59"/>
      <c r="O57" s="59"/>
      <c r="P57" s="59"/>
      <c r="Q57" s="59"/>
      <c r="R57" s="59"/>
    </row>
  </sheetData>
  <mergeCells>
    <mergeCell ref="A1:R1"/>
    <mergeCell ref="A2:R2"/>
    <mergeCell ref="A56:R56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2026-04-12T00:18:00Z</dcterms:created>
</cp:coreProperties>
</file>